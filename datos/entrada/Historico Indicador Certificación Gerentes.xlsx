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026\ALCON\Certificacion Gerentes\"/>
    </mc:Choice>
  </mc:AlternateContent>
  <xr:revisionPtr revIDLastSave="0" documentId="13_ncr:1_{2150A968-51E9-4486-B818-EEA688815E6D}" xr6:coauthVersionLast="47" xr6:coauthVersionMax="47" xr10:uidLastSave="{00000000-0000-0000-0000-000000000000}"/>
  <bookViews>
    <workbookView xWindow="-110" yWindow="-110" windowWidth="19420" windowHeight="10300" tabRatio="762" xr2:uid="{2680F717-C5C2-4D57-A273-58217830F664}"/>
  </bookViews>
  <sheets>
    <sheet name="Enero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2" i="11"/>
</calcChain>
</file>

<file path=xl/sharedStrings.xml><?xml version="1.0" encoding="utf-8"?>
<sst xmlns="http://schemas.openxmlformats.org/spreadsheetml/2006/main" count="101" uniqueCount="63">
  <si>
    <t>GERENCIA</t>
  </si>
  <si>
    <t>ADC DISEÑO Y OPERACION TELCO TI</t>
  </si>
  <si>
    <t>ADMON FINANCIERA VP SERV CORP</t>
  </si>
  <si>
    <t>EVC EVOLUCION DIGITAL</t>
  </si>
  <si>
    <t>EVC SERVICIOS ESTRATEGICOS NEGOCIO LRU</t>
  </si>
  <si>
    <t>EVC SERVICIOS PARA EL NEGOCIO SUFI</t>
  </si>
  <si>
    <t>FOMENTO LEASING RENTA Y USO</t>
  </si>
  <si>
    <t>GCIA ADMIN NEG PUBLICOS Y CONCESIONES 2</t>
  </si>
  <si>
    <t>GCIA ADMINISTRACION DE ALIANZAS</t>
  </si>
  <si>
    <t>GCIA ADMINISTRACION DEL ACTIVO</t>
  </si>
  <si>
    <t>GCIA APRENDIZAJE</t>
  </si>
  <si>
    <t>GCIA ATENCION AL CLIENTE</t>
  </si>
  <si>
    <t>GCIA ATRACCION DEL TALENTO</t>
  </si>
  <si>
    <t>GCIA AUTOSERVICIOS Y EFECTIVO</t>
  </si>
  <si>
    <t>GCIA CONTABLE Y TRIBUTARIA NEQUI</t>
  </si>
  <si>
    <t>GCIA DE BIENESTAR</t>
  </si>
  <si>
    <t>GCIA DE CREDITO HIPOTECARIO</t>
  </si>
  <si>
    <t>GCIA DE REQUERIMIENTOS LEGALES E INSTITU</t>
  </si>
  <si>
    <t>GCIA DE SERV REPORTERIA LEGAL Y TRIBUT</t>
  </si>
  <si>
    <t>GCIA ESTADOS FINANCIEROS</t>
  </si>
  <si>
    <t>GCIA GESTION INMOBILIARIA</t>
  </si>
  <si>
    <t>GCIA JURIDICA SOCIETARIA FILIALES</t>
  </si>
  <si>
    <t>GCIA LIMITES DESEMBOLSOS Y GARANTIAS</t>
  </si>
  <si>
    <t>GCIA MONITOREO CONTROL Y CUMP TRIBUTARIO</t>
  </si>
  <si>
    <t>GCIA OP NEGOCIO INMOBILIARIO Y FACTORING</t>
  </si>
  <si>
    <t>GCIA OPERACION DEPOSITOS PARA CLIENTES</t>
  </si>
  <si>
    <t>GCIA OPERACION MEDIOS Y ACEPTACION PAGOS</t>
  </si>
  <si>
    <t>GCIA OPERACIONES SEGUROS Y NUEVOS FLUJOS</t>
  </si>
  <si>
    <t>GCIA SEGURIDAD DE PERSONAS E INF FISICA</t>
  </si>
  <si>
    <t>GCIA SEGUROS CORPORATIVOS</t>
  </si>
  <si>
    <t>GCIA SERV FINANCIEROS MERCADO CAPITALES</t>
  </si>
  <si>
    <t>GCIA SERVICIOS CONTABLES ADMINISTRATIVOS</t>
  </si>
  <si>
    <t>GCIA SERVICIOS CONTROL Y MONITOREO EEFF</t>
  </si>
  <si>
    <t>GCIA SERVICIOS DE NOMINA A EMPLEADOS</t>
  </si>
  <si>
    <t>GCIA SERVICIOS FINANCIEROS CORPORATIVOS</t>
  </si>
  <si>
    <t>GCIA SERVICIOS GESTION DEL FRAUDE</t>
  </si>
  <si>
    <t>GCIA SERVICIOS INVERSIONES Y TESORERIA</t>
  </si>
  <si>
    <t>GERENCIA DE SERVICIOS DE COBRANZA Y BRP</t>
  </si>
  <si>
    <t>GERENCIA OPERACION CASH MANAGEMENT</t>
  </si>
  <si>
    <t>GERENCIA OPERACION DE FINANCIACION</t>
  </si>
  <si>
    <t>GERENCIA OPERACIONES TALENTO Y CULTURA</t>
  </si>
  <si>
    <t>GERENCIA SERVICIOS LOGISTICOS</t>
  </si>
  <si>
    <t>LDC FC SITIO DE CONTENIDOS</t>
  </si>
  <si>
    <t>LDC INCLUSION Y PROGRESO</t>
  </si>
  <si>
    <t>LDC PRODUCTO VIDA Y SALUD</t>
  </si>
  <si>
    <t>OPERACION Y ANALITICA ECOSISTEMAS</t>
  </si>
  <si>
    <t>FECHA CERTIFICACIÓN</t>
  </si>
  <si>
    <t>FECHA OBJETIVO</t>
  </si>
  <si>
    <t>INDICADOR</t>
  </si>
  <si>
    <t>ADC GESTION DE LA OPERACION</t>
  </si>
  <si>
    <t>GCIA DE TRANSFORMACION DE LITIGIOS</t>
  </si>
  <si>
    <t>06/02/2026</t>
  </si>
  <si>
    <t>09/02/2026</t>
  </si>
  <si>
    <t>03/02/2026</t>
  </si>
  <si>
    <t>12/02/2026</t>
  </si>
  <si>
    <t>02/02/2026</t>
  </si>
  <si>
    <t>04/02/2026</t>
  </si>
  <si>
    <t>05/02/2026</t>
  </si>
  <si>
    <t>10/02/2026</t>
  </si>
  <si>
    <t>16/02/2026</t>
  </si>
  <si>
    <t>17/02/2026</t>
  </si>
  <si>
    <t>*El indicador mide el incumplimiento en función de los días calendario del mes. Cada día de atraso tiene el mismo peso, independientemente de la fecha objetivo.</t>
  </si>
  <si>
    <t>EVC SEGUROS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</si>
</sst>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IBFont Sans"/>
      <family val="2"/>
    </font>
    <font>
      <sz val="11"/>
      <color theme="1"/>
      <name val="CIBFont Sans"/>
      <family val="2"/>
    </font>
    <font>
      <sz val="11"/>
      <name val="CIBFont Sans"/>
      <family val="2"/>
    </font>
    <font>
      <b/>
      <sz val="11"/>
      <name val="CIBFont Sans"/>
      <family val="2"/>
    </font>
    <font>
      <sz val="11"/>
      <color rgb="FF2C2A29"/>
      <name val="CIBFont Sans"/>
      <family val="2"/>
    </font>
    <font>
      <sz val="11"/>
      <color rgb="FFFF7F41"/>
      <name val="CIBFont Sans"/>
      <family val="2"/>
    </font>
    <font>
      <sz val="7"/>
      <color theme="1"/>
      <name val="Segoe UI"/>
      <family val="2"/>
    </font>
    <font>
      <i/>
      <sz val="7"/>
      <color theme="1"/>
      <name val="CIBFont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C38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14" fontId="3" fillId="0" borderId="0" xfId="0" applyNumberFormat="1" applyFont="1"/>
    <xf numFmtId="10" fontId="2" fillId="0" borderId="0" xfId="1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10" fontId="0" fillId="0" borderId="0" xfId="1" applyNumberFormat="1" applyFont="1"/>
    <xf numFmtId="164" fontId="3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2">
    <cellStyle name="Normal" xfId="0" builtinId="0"/>
    <cellStyle name="Porcentaje" xfId="1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3033-4462-46E0-AF1D-CD42E58297D2}">
  <dimension ref="A1:I69"/>
  <sheetViews>
    <sheetView tabSelected="1" workbookViewId="0"/>
  </sheetViews>
  <sheetFormatPr baseColWidth="10" defaultRowHeight="14.5" x14ac:dyDescent="0.35"/>
  <cols>
    <col min="1" max="1" width="45.81640625" bestFit="1" customWidth="1"/>
    <col min="2" max="2" width="21.54296875" bestFit="1" customWidth="1"/>
    <col min="3" max="3" width="16.26953125" bestFit="1" customWidth="1"/>
    <col min="4" max="4" width="11.26953125" bestFit="1" customWidth="1"/>
    <col min="5" max="5" width="10.6328125" bestFit="1" customWidth="1"/>
  </cols>
  <sheetData>
    <row r="1" spans="1:9" x14ac:dyDescent="0.35">
      <c r="A1" s="1" t="s">
        <v>0</v>
      </c>
      <c r="B1" s="1" t="s">
        <v>46</v>
      </c>
      <c r="C1" s="1" t="s">
        <v>47</v>
      </c>
      <c r="D1" s="4" t="s">
        <v>48</v>
      </c>
      <c r="E1" s="2">
        <v>46081</v>
      </c>
    </row>
    <row r="2" spans="1:9" x14ac:dyDescent="0.35">
      <c r="A2" s="5" t="s">
        <v>1</v>
      </c>
      <c r="B2" s="10" t="s">
        <v>51</v>
      </c>
      <c r="C2" s="10">
        <v>46059</v>
      </c>
      <c r="D2" s="3">
        <f>IFERROR(IF(INT(B2)&lt;=INT(C2),0,(INT(B2)-INT(C2))/DAY($E$1)),0)</f>
        <v>0</v>
      </c>
      <c r="E2" s="9"/>
      <c r="I2" s="9"/>
    </row>
    <row r="3" spans="1:9" x14ac:dyDescent="0.35">
      <c r="A3" s="5" t="s">
        <v>49</v>
      </c>
      <c r="B3" s="10" t="s">
        <v>52</v>
      </c>
      <c r="C3" s="10">
        <v>46059</v>
      </c>
      <c r="D3" s="3">
        <f t="shared" ref="D3:D49" si="0">IFERROR(IF(INT(B3)&lt;=INT(C3),0,(INT(B3)-INT(C3))/DAY($E$1)),0)</f>
        <v>0.10714285714285714</v>
      </c>
      <c r="E3" s="9"/>
      <c r="I3" s="9"/>
    </row>
    <row r="4" spans="1:9" x14ac:dyDescent="0.35">
      <c r="A4" s="5" t="s">
        <v>2</v>
      </c>
      <c r="B4" s="10" t="s">
        <v>53</v>
      </c>
      <c r="C4" s="10">
        <v>46059</v>
      </c>
      <c r="D4" s="3">
        <f t="shared" si="0"/>
        <v>0</v>
      </c>
      <c r="E4" s="9"/>
      <c r="I4" s="9"/>
    </row>
    <row r="5" spans="1:9" x14ac:dyDescent="0.35">
      <c r="A5" s="6" t="s">
        <v>3</v>
      </c>
      <c r="B5" s="10" t="s">
        <v>52</v>
      </c>
      <c r="C5" s="10">
        <v>46059</v>
      </c>
      <c r="D5" s="3">
        <f t="shared" si="0"/>
        <v>0.10714285714285714</v>
      </c>
      <c r="E5" s="9"/>
      <c r="I5" s="9"/>
    </row>
    <row r="6" spans="1:9" x14ac:dyDescent="0.35">
      <c r="A6" s="5" t="s">
        <v>4</v>
      </c>
      <c r="B6" s="10" t="s">
        <v>54</v>
      </c>
      <c r="C6" s="10">
        <v>46059</v>
      </c>
      <c r="D6" s="3">
        <f t="shared" si="0"/>
        <v>0.21428571428571427</v>
      </c>
      <c r="E6" s="9"/>
      <c r="I6" s="9"/>
    </row>
    <row r="7" spans="1:9" x14ac:dyDescent="0.35">
      <c r="A7" s="5" t="s">
        <v>5</v>
      </c>
      <c r="B7" s="10" t="s">
        <v>52</v>
      </c>
      <c r="C7" s="10">
        <v>46059</v>
      </c>
      <c r="D7" s="3">
        <f t="shared" si="0"/>
        <v>0.10714285714285714</v>
      </c>
      <c r="E7" s="9"/>
      <c r="I7" s="9"/>
    </row>
    <row r="8" spans="1:9" x14ac:dyDescent="0.35">
      <c r="A8" s="5" t="s">
        <v>6</v>
      </c>
      <c r="B8" s="10" t="s">
        <v>55</v>
      </c>
      <c r="C8" s="10">
        <v>46059</v>
      </c>
      <c r="D8" s="3">
        <f t="shared" si="0"/>
        <v>0</v>
      </c>
      <c r="E8" s="9"/>
      <c r="I8" s="9"/>
    </row>
    <row r="9" spans="1:9" x14ac:dyDescent="0.35">
      <c r="A9" s="5" t="s">
        <v>7</v>
      </c>
      <c r="B9" s="10" t="s">
        <v>56</v>
      </c>
      <c r="C9" s="10">
        <v>46059</v>
      </c>
      <c r="D9" s="3">
        <f t="shared" si="0"/>
        <v>0</v>
      </c>
      <c r="E9" s="9"/>
      <c r="I9" s="9"/>
    </row>
    <row r="10" spans="1:9" x14ac:dyDescent="0.35">
      <c r="A10" s="5" t="s">
        <v>8</v>
      </c>
      <c r="B10" s="10" t="s">
        <v>52</v>
      </c>
      <c r="C10" s="10">
        <v>46059</v>
      </c>
      <c r="D10" s="3">
        <f t="shared" si="0"/>
        <v>0.10714285714285714</v>
      </c>
      <c r="E10" s="9"/>
      <c r="I10" s="9"/>
    </row>
    <row r="11" spans="1:9" x14ac:dyDescent="0.35">
      <c r="A11" s="5" t="s">
        <v>9</v>
      </c>
      <c r="B11" s="10" t="s">
        <v>56</v>
      </c>
      <c r="C11" s="10">
        <v>46059</v>
      </c>
      <c r="D11" s="3">
        <f t="shared" si="0"/>
        <v>0</v>
      </c>
      <c r="E11" s="9"/>
      <c r="I11" s="9"/>
    </row>
    <row r="12" spans="1:9" x14ac:dyDescent="0.35">
      <c r="A12" s="5" t="s">
        <v>10</v>
      </c>
      <c r="B12" s="10" t="s">
        <v>57</v>
      </c>
      <c r="C12" s="10">
        <v>46059</v>
      </c>
      <c r="D12" s="3">
        <f t="shared" si="0"/>
        <v>0</v>
      </c>
      <c r="E12" s="9"/>
      <c r="I12" s="9"/>
    </row>
    <row r="13" spans="1:9" x14ac:dyDescent="0.35">
      <c r="A13" s="5" t="s">
        <v>11</v>
      </c>
      <c r="B13" s="10" t="s">
        <v>53</v>
      </c>
      <c r="C13" s="10">
        <v>46059</v>
      </c>
      <c r="D13" s="3">
        <f t="shared" si="0"/>
        <v>0</v>
      </c>
      <c r="E13" s="9"/>
      <c r="I13" s="9"/>
    </row>
    <row r="14" spans="1:9" x14ac:dyDescent="0.35">
      <c r="A14" s="5" t="s">
        <v>12</v>
      </c>
      <c r="B14" s="10" t="s">
        <v>53</v>
      </c>
      <c r="C14" s="10">
        <v>46059</v>
      </c>
      <c r="D14" s="3">
        <f t="shared" si="0"/>
        <v>0</v>
      </c>
      <c r="E14" s="9"/>
      <c r="I14" s="9"/>
    </row>
    <row r="15" spans="1:9" x14ac:dyDescent="0.35">
      <c r="A15" s="5" t="s">
        <v>13</v>
      </c>
      <c r="B15" s="10" t="s">
        <v>51</v>
      </c>
      <c r="C15" s="10">
        <v>46059</v>
      </c>
      <c r="D15" s="3">
        <f t="shared" si="0"/>
        <v>0</v>
      </c>
      <c r="E15" s="9"/>
      <c r="I15" s="9"/>
    </row>
    <row r="16" spans="1:9" x14ac:dyDescent="0.35">
      <c r="A16" s="5" t="s">
        <v>14</v>
      </c>
      <c r="B16" s="10" t="s">
        <v>58</v>
      </c>
      <c r="C16" s="10">
        <v>46059</v>
      </c>
      <c r="D16" s="3">
        <f t="shared" si="0"/>
        <v>0.14285714285714285</v>
      </c>
      <c r="E16" s="9"/>
      <c r="I16" s="9"/>
    </row>
    <row r="17" spans="1:9" x14ac:dyDescent="0.35">
      <c r="A17" s="5" t="s">
        <v>15</v>
      </c>
      <c r="B17" s="10" t="s">
        <v>55</v>
      </c>
      <c r="C17" s="10">
        <v>46059</v>
      </c>
      <c r="D17" s="3">
        <f t="shared" si="0"/>
        <v>0</v>
      </c>
      <c r="E17" s="9"/>
      <c r="I17" s="9"/>
    </row>
    <row r="18" spans="1:9" x14ac:dyDescent="0.35">
      <c r="A18" s="5" t="s">
        <v>16</v>
      </c>
      <c r="B18" s="10" t="s">
        <v>55</v>
      </c>
      <c r="C18" s="10">
        <v>46059</v>
      </c>
      <c r="D18" s="3">
        <f t="shared" si="0"/>
        <v>0</v>
      </c>
      <c r="E18" s="9"/>
      <c r="I18" s="9"/>
    </row>
    <row r="19" spans="1:9" x14ac:dyDescent="0.35">
      <c r="A19" s="5" t="s">
        <v>17</v>
      </c>
      <c r="B19" s="10" t="s">
        <v>55</v>
      </c>
      <c r="C19" s="10">
        <v>46059</v>
      </c>
      <c r="D19" s="3">
        <f t="shared" si="0"/>
        <v>0</v>
      </c>
      <c r="E19" s="9"/>
      <c r="I19" s="9"/>
    </row>
    <row r="20" spans="1:9" x14ac:dyDescent="0.35">
      <c r="A20" s="7" t="s">
        <v>18</v>
      </c>
      <c r="B20" s="10" t="s">
        <v>58</v>
      </c>
      <c r="C20" s="10">
        <v>46062</v>
      </c>
      <c r="D20" s="3">
        <f t="shared" si="0"/>
        <v>3.5714285714285712E-2</v>
      </c>
      <c r="E20" s="9"/>
      <c r="I20" s="9"/>
    </row>
    <row r="21" spans="1:9" x14ac:dyDescent="0.35">
      <c r="A21" s="8" t="s">
        <v>50</v>
      </c>
      <c r="B21" s="10" t="s">
        <v>52</v>
      </c>
      <c r="C21" s="10">
        <v>46059</v>
      </c>
      <c r="D21" s="3">
        <f t="shared" si="0"/>
        <v>0.10714285714285714</v>
      </c>
      <c r="E21" s="9"/>
      <c r="I21" s="9"/>
    </row>
    <row r="22" spans="1:9" x14ac:dyDescent="0.35">
      <c r="A22" s="5" t="s">
        <v>19</v>
      </c>
      <c r="B22" s="10" t="s">
        <v>59</v>
      </c>
      <c r="C22" s="10">
        <v>46066</v>
      </c>
      <c r="D22" s="3">
        <f t="shared" si="0"/>
        <v>0.10714285714285714</v>
      </c>
      <c r="E22" s="9"/>
      <c r="I22" s="9"/>
    </row>
    <row r="23" spans="1:9" x14ac:dyDescent="0.35">
      <c r="A23" s="5" t="s">
        <v>20</v>
      </c>
      <c r="B23" s="10" t="s">
        <v>58</v>
      </c>
      <c r="C23" s="10">
        <v>46059</v>
      </c>
      <c r="D23" s="3">
        <f t="shared" si="0"/>
        <v>0.14285714285714285</v>
      </c>
      <c r="E23" s="9"/>
      <c r="I23" s="9"/>
    </row>
    <row r="24" spans="1:9" x14ac:dyDescent="0.35">
      <c r="A24" s="6" t="s">
        <v>21</v>
      </c>
      <c r="B24" s="10" t="s">
        <v>52</v>
      </c>
      <c r="C24" s="10">
        <v>46059</v>
      </c>
      <c r="D24" s="3">
        <f t="shared" si="0"/>
        <v>0.10714285714285714</v>
      </c>
      <c r="E24" s="9"/>
      <c r="I24" s="9"/>
    </row>
    <row r="25" spans="1:9" x14ac:dyDescent="0.35">
      <c r="A25" s="5" t="s">
        <v>22</v>
      </c>
      <c r="B25" s="10" t="s">
        <v>57</v>
      </c>
      <c r="C25" s="10">
        <v>46059</v>
      </c>
      <c r="D25" s="3">
        <f t="shared" si="0"/>
        <v>0</v>
      </c>
      <c r="E25" s="9"/>
      <c r="I25" s="9"/>
    </row>
    <row r="26" spans="1:9" x14ac:dyDescent="0.35">
      <c r="A26" s="5" t="s">
        <v>23</v>
      </c>
      <c r="B26" s="10" t="s">
        <v>60</v>
      </c>
      <c r="C26" s="10">
        <v>46067</v>
      </c>
      <c r="D26" s="3">
        <f t="shared" si="0"/>
        <v>0.10714285714285714</v>
      </c>
      <c r="E26" s="9"/>
      <c r="I26" s="9"/>
    </row>
    <row r="27" spans="1:9" x14ac:dyDescent="0.35">
      <c r="A27" s="5" t="s">
        <v>24</v>
      </c>
      <c r="B27" s="10" t="s">
        <v>52</v>
      </c>
      <c r="C27" s="10">
        <v>46059</v>
      </c>
      <c r="D27" s="3">
        <f t="shared" si="0"/>
        <v>0.10714285714285714</v>
      </c>
      <c r="E27" s="9"/>
      <c r="I27" s="9"/>
    </row>
    <row r="28" spans="1:9" x14ac:dyDescent="0.35">
      <c r="A28" s="5" t="s">
        <v>25</v>
      </c>
      <c r="B28" s="10" t="s">
        <v>54</v>
      </c>
      <c r="C28" s="10">
        <v>46059</v>
      </c>
      <c r="D28" s="3">
        <f t="shared" si="0"/>
        <v>0.21428571428571427</v>
      </c>
      <c r="E28" s="9"/>
      <c r="I28" s="9"/>
    </row>
    <row r="29" spans="1:9" x14ac:dyDescent="0.35">
      <c r="A29" s="5" t="s">
        <v>26</v>
      </c>
      <c r="B29" s="10" t="s">
        <v>52</v>
      </c>
      <c r="C29" s="10">
        <v>46059</v>
      </c>
      <c r="D29" s="3">
        <f t="shared" si="0"/>
        <v>0.10714285714285714</v>
      </c>
      <c r="E29" s="9"/>
      <c r="I29" s="9"/>
    </row>
    <row r="30" spans="1:9" x14ac:dyDescent="0.35">
      <c r="A30" s="5" t="s">
        <v>27</v>
      </c>
      <c r="B30" s="10" t="s">
        <v>51</v>
      </c>
      <c r="C30" s="10">
        <v>46059</v>
      </c>
      <c r="D30" s="3">
        <f t="shared" si="0"/>
        <v>0</v>
      </c>
      <c r="E30" s="9"/>
      <c r="I30" s="9"/>
    </row>
    <row r="31" spans="1:9" x14ac:dyDescent="0.35">
      <c r="A31" s="5" t="s">
        <v>28</v>
      </c>
      <c r="B31" s="10" t="s">
        <v>53</v>
      </c>
      <c r="C31" s="10">
        <v>46059</v>
      </c>
      <c r="D31" s="3">
        <f t="shared" si="0"/>
        <v>0</v>
      </c>
      <c r="E31" s="9"/>
      <c r="I31" s="9"/>
    </row>
    <row r="32" spans="1:9" x14ac:dyDescent="0.35">
      <c r="A32" s="5" t="s">
        <v>29</v>
      </c>
      <c r="B32" s="10" t="s">
        <v>53</v>
      </c>
      <c r="C32" s="10">
        <v>46059</v>
      </c>
      <c r="D32" s="3">
        <f t="shared" si="0"/>
        <v>0</v>
      </c>
      <c r="E32" s="9"/>
      <c r="I32" s="9"/>
    </row>
    <row r="33" spans="1:9" x14ac:dyDescent="0.35">
      <c r="A33" s="5" t="s">
        <v>30</v>
      </c>
      <c r="B33" s="10" t="s">
        <v>51</v>
      </c>
      <c r="C33" s="10">
        <v>46060</v>
      </c>
      <c r="D33" s="3">
        <f t="shared" si="0"/>
        <v>0</v>
      </c>
      <c r="E33" s="9"/>
      <c r="I33" s="9"/>
    </row>
    <row r="34" spans="1:9" x14ac:dyDescent="0.35">
      <c r="A34" s="5" t="s">
        <v>31</v>
      </c>
      <c r="B34" s="10" t="s">
        <v>52</v>
      </c>
      <c r="C34" s="10">
        <v>46059</v>
      </c>
      <c r="D34" s="3">
        <f t="shared" si="0"/>
        <v>0.10714285714285714</v>
      </c>
      <c r="E34" s="9"/>
      <c r="I34" s="9"/>
    </row>
    <row r="35" spans="1:9" x14ac:dyDescent="0.35">
      <c r="A35" s="7" t="s">
        <v>32</v>
      </c>
      <c r="B35" s="10" t="s">
        <v>51</v>
      </c>
      <c r="C35" s="10">
        <v>46059</v>
      </c>
      <c r="D35" s="3">
        <f t="shared" si="0"/>
        <v>0</v>
      </c>
      <c r="E35" s="9"/>
      <c r="I35" s="9"/>
    </row>
    <row r="36" spans="1:9" x14ac:dyDescent="0.35">
      <c r="A36" s="7" t="s">
        <v>33</v>
      </c>
      <c r="B36" s="10" t="s">
        <v>58</v>
      </c>
      <c r="C36" s="10">
        <v>46059</v>
      </c>
      <c r="D36" s="3">
        <f t="shared" si="0"/>
        <v>0.14285714285714285</v>
      </c>
      <c r="E36" s="9"/>
      <c r="I36" s="9"/>
    </row>
    <row r="37" spans="1:9" x14ac:dyDescent="0.35">
      <c r="A37" s="7" t="s">
        <v>34</v>
      </c>
      <c r="B37" s="10" t="s">
        <v>60</v>
      </c>
      <c r="C37" s="10">
        <v>46069</v>
      </c>
      <c r="D37" s="3">
        <f t="shared" si="0"/>
        <v>3.5714285714285712E-2</v>
      </c>
      <c r="E37" s="9"/>
      <c r="I37" s="9"/>
    </row>
    <row r="38" spans="1:9" x14ac:dyDescent="0.35">
      <c r="A38" s="5" t="s">
        <v>35</v>
      </c>
      <c r="B38" s="10" t="s">
        <v>57</v>
      </c>
      <c r="C38" s="10">
        <v>46059</v>
      </c>
      <c r="D38" s="3">
        <f t="shared" si="0"/>
        <v>0</v>
      </c>
      <c r="E38" s="9"/>
      <c r="I38" s="9"/>
    </row>
    <row r="39" spans="1:9" x14ac:dyDescent="0.35">
      <c r="A39" s="5" t="s">
        <v>36</v>
      </c>
      <c r="B39" s="10" t="s">
        <v>57</v>
      </c>
      <c r="C39" s="10">
        <v>46059</v>
      </c>
      <c r="D39" s="3">
        <f t="shared" si="0"/>
        <v>0</v>
      </c>
      <c r="E39" s="9"/>
      <c r="I39" s="9"/>
    </row>
    <row r="40" spans="1:9" x14ac:dyDescent="0.35">
      <c r="A40" s="5" t="s">
        <v>37</v>
      </c>
      <c r="B40" s="10" t="s">
        <v>51</v>
      </c>
      <c r="C40" s="10">
        <v>46059</v>
      </c>
      <c r="D40" s="3">
        <f t="shared" si="0"/>
        <v>0</v>
      </c>
      <c r="E40" s="9"/>
      <c r="I40" s="9"/>
    </row>
    <row r="41" spans="1:9" x14ac:dyDescent="0.35">
      <c r="A41" s="5" t="s">
        <v>38</v>
      </c>
      <c r="B41" s="10" t="s">
        <v>60</v>
      </c>
      <c r="C41" s="10">
        <v>46059</v>
      </c>
      <c r="D41" s="3">
        <f t="shared" si="0"/>
        <v>0.39285714285714285</v>
      </c>
      <c r="E41" s="9"/>
      <c r="I41" s="9"/>
    </row>
    <row r="42" spans="1:9" x14ac:dyDescent="0.35">
      <c r="A42" s="5" t="s">
        <v>39</v>
      </c>
      <c r="B42" s="10" t="s">
        <v>58</v>
      </c>
      <c r="C42" s="10">
        <v>46059</v>
      </c>
      <c r="D42" s="3">
        <f t="shared" si="0"/>
        <v>0.14285714285714285</v>
      </c>
      <c r="E42" s="9"/>
      <c r="I42" s="9"/>
    </row>
    <row r="43" spans="1:9" x14ac:dyDescent="0.35">
      <c r="A43" s="6" t="s">
        <v>40</v>
      </c>
      <c r="B43" s="10" t="s">
        <v>52</v>
      </c>
      <c r="C43" s="10">
        <v>46059</v>
      </c>
      <c r="D43" s="3">
        <f t="shared" si="0"/>
        <v>0.10714285714285714</v>
      </c>
      <c r="E43" s="9"/>
      <c r="I43" s="9"/>
    </row>
    <row r="44" spans="1:9" x14ac:dyDescent="0.35">
      <c r="A44" s="5" t="s">
        <v>41</v>
      </c>
      <c r="B44" s="10" t="s">
        <v>56</v>
      </c>
      <c r="C44" s="10">
        <v>46059</v>
      </c>
      <c r="D44" s="3">
        <f t="shared" si="0"/>
        <v>0</v>
      </c>
      <c r="E44" s="9"/>
      <c r="I44" s="9"/>
    </row>
    <row r="45" spans="1:9" x14ac:dyDescent="0.35">
      <c r="A45" s="5" t="s">
        <v>42</v>
      </c>
      <c r="B45" s="10" t="s">
        <v>53</v>
      </c>
      <c r="C45" s="10">
        <v>46059</v>
      </c>
      <c r="D45" s="3">
        <f t="shared" si="0"/>
        <v>0</v>
      </c>
      <c r="E45" s="9"/>
      <c r="I45" s="9"/>
    </row>
    <row r="46" spans="1:9" x14ac:dyDescent="0.35">
      <c r="A46" s="5" t="s">
        <v>43</v>
      </c>
      <c r="B46" s="10" t="s">
        <v>57</v>
      </c>
      <c r="C46" s="10">
        <v>46059</v>
      </c>
      <c r="D46" s="3">
        <f t="shared" si="0"/>
        <v>0</v>
      </c>
      <c r="E46" s="9"/>
      <c r="I46" s="9"/>
    </row>
    <row r="47" spans="1:9" x14ac:dyDescent="0.35">
      <c r="A47" s="5" t="s">
        <v>62</v>
      </c>
      <c r="B47" s="10" t="s">
        <v>52</v>
      </c>
      <c r="C47" s="10">
        <v>46059</v>
      </c>
      <c r="D47" s="3">
        <f t="shared" si="0"/>
        <v>0.10714285714285714</v>
      </c>
      <c r="E47" s="9"/>
      <c r="I47" s="9"/>
    </row>
    <row r="48" spans="1:9" x14ac:dyDescent="0.35">
      <c r="A48" s="5" t="s">
        <v>44</v>
      </c>
      <c r="B48" s="10" t="s">
        <v>52</v>
      </c>
      <c r="C48" s="10">
        <v>46059</v>
      </c>
      <c r="D48" s="3">
        <f t="shared" si="0"/>
        <v>0.10714285714285714</v>
      </c>
      <c r="E48" s="9"/>
      <c r="I48" s="9"/>
    </row>
    <row r="49" spans="1:9" x14ac:dyDescent="0.35">
      <c r="A49" s="5" t="s">
        <v>45</v>
      </c>
      <c r="B49" s="10" t="s">
        <v>51</v>
      </c>
      <c r="C49" s="10">
        <v>46059</v>
      </c>
      <c r="D49" s="3">
        <f t="shared" si="0"/>
        <v>0</v>
      </c>
      <c r="E49" s="9"/>
      <c r="I49" s="9"/>
    </row>
    <row r="50" spans="1:9" x14ac:dyDescent="0.35">
      <c r="I50" s="9"/>
    </row>
    <row r="54" spans="1:9" x14ac:dyDescent="0.35">
      <c r="A54" s="11"/>
    </row>
    <row r="69" spans="1:1" x14ac:dyDescent="0.35">
      <c r="A69" s="12" t="s">
        <v>61</v>
      </c>
    </row>
  </sheetData>
  <sheetProtection algorithmName="SHA-512" hashValue="OOouJFDfeQvnjP2laLE3dLbr4ExDvHH9q/SnJtpInN9QMR9lRtrbeZTKSkHqJS8JocAnDoeHZ14DUMZ4gRC5Rg==" saltValue="pzjbaLC28Wyk7ui/wBUFpQ==" spinCount="100000" sheet="1" objects="1" scenarios="1"/>
  <conditionalFormatting sqref="A46:A4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Yamid Andres Bedoya Velasquez</dc:creator>
  <cp:lastModifiedBy>Yamid Andres Bedoya Velasquez</cp:lastModifiedBy>
  <dcterms:created xsi:type="dcterms:W3CDTF">2025-12-22T13:42:30Z</dcterms:created>
  <dcterms:modified xsi:type="dcterms:W3CDTF">2026-02-26T16:51:21Z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2025-12-22T14:23:52Z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5ad93b4e-40e7-479a-bd0b-4bab589cc431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