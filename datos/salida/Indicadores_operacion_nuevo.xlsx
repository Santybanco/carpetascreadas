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J303"/>
  <sheetViews>
    <sheetView workbookViewId="0">
      <selection activeCell="A1" sqref="A1"/>
    </sheetView>
  </sheetViews>
  <sheetFormatPr baseColWidth="8" defaultRowHeight="15"/>
  <sheetData>
    <row r="4">
      <c r="A4" s="3" t="inlineStr">
        <is>
          <t>Area</t>
        </is>
      </c>
      <c r="B4" s="3" t="inlineStr">
        <is>
          <t>TOTAL CUENTAS TEMPORALES CON SALDO</t>
        </is>
      </c>
      <c r="C4" s="3" t="inlineStr">
        <is>
          <t>CUENTAS TEMPORALES FUERA DE POLITICA</t>
        </is>
      </c>
      <c r="D4" s="3" t="inlineStr">
        <is>
          <t>%</t>
        </is>
      </c>
      <c r="E4" s="3" t="inlineStr">
        <is>
          <t>TOTAL PARTIDAS</t>
        </is>
      </c>
      <c r="F4" s="3" t="inlineStr">
        <is>
          <t>PARTIDAS FUERA DE POLITICA</t>
        </is>
      </c>
      <c r="G4" s="3" t="inlineStr">
        <is>
          <t>%</t>
        </is>
      </c>
      <c r="H4" s="3" t="inlineStr">
        <is>
          <t>TOTAL VALOR PARTIDAS PESOS DB</t>
        </is>
      </c>
      <c r="I4" s="3" t="inlineStr">
        <is>
          <t>VALOR PARTIDAS PESOS DB (Fuera de política)</t>
        </is>
      </c>
      <c r="J4" s="3" t="inlineStr">
        <is>
          <t>%</t>
        </is>
      </c>
    </row>
    <row r="5">
      <c r="A5" t="inlineStr">
        <is>
          <t>EVC SERVICIOS ESTRATEGICOS NEGOCIO LRU</t>
        </is>
      </c>
      <c r="B5" s="4" t="n">
        <v>8</v>
      </c>
      <c r="C5" s="4" t="n">
        <v>2</v>
      </c>
      <c r="D5" s="2">
        <f>IFERROR(C5/B5,0)</f>
        <v/>
      </c>
      <c r="E5" s="4" t="n">
        <v>448</v>
      </c>
      <c r="F5" s="4" t="n">
        <v>20</v>
      </c>
      <c r="G5" s="5">
        <f>IFERROR(F5/E5,0)</f>
        <v/>
      </c>
      <c r="H5" s="4" t="n">
        <v>8166209859</v>
      </c>
      <c r="I5" s="4" t="n">
        <v>85655348</v>
      </c>
      <c r="J5" s="5">
        <f>IFERROR(I5/H5,0)</f>
        <v/>
      </c>
    </row>
    <row r="6">
      <c r="A6" t="inlineStr">
        <is>
          <t>EVC SERVICIOS PARA EL NEGOCIO SUFI</t>
        </is>
      </c>
      <c r="B6" s="4" t="n">
        <v>9</v>
      </c>
      <c r="C6" s="4" t="n">
        <v>0</v>
      </c>
      <c r="D6" s="2">
        <f>IFERROR(C6/B6,0)</f>
        <v/>
      </c>
      <c r="E6" s="4" t="n">
        <v>5504</v>
      </c>
      <c r="F6" s="4" t="n">
        <v>0</v>
      </c>
      <c r="G6" s="5">
        <f>IFERROR(F6/E6,0)</f>
        <v/>
      </c>
      <c r="H6" s="4" t="n">
        <v>169629603</v>
      </c>
      <c r="I6" s="4" t="n">
        <v>0</v>
      </c>
      <c r="J6" s="5">
        <f>IFERROR(I6/H6,0)</f>
        <v/>
      </c>
    </row>
    <row r="7">
      <c r="A7" t="inlineStr">
        <is>
          <t>GCIA ATENCION AL CLIENTE</t>
        </is>
      </c>
      <c r="B7" s="4" t="n">
        <v>1</v>
      </c>
      <c r="C7" s="4" t="n">
        <v>0</v>
      </c>
      <c r="D7" s="2">
        <f>IFERROR(C7/B7,0)</f>
        <v/>
      </c>
      <c r="E7" s="4" t="n">
        <v>7</v>
      </c>
      <c r="F7" s="4" t="n">
        <v>0</v>
      </c>
      <c r="G7" s="5">
        <f>IFERROR(F7/E7,0)</f>
        <v/>
      </c>
      <c r="H7" s="4" t="n">
        <v>19530072</v>
      </c>
      <c r="I7" s="4" t="n">
        <v>0</v>
      </c>
      <c r="J7" s="5">
        <f>IFERROR(I7/H7,0)</f>
        <v/>
      </c>
    </row>
    <row r="8">
      <c r="A8" t="inlineStr">
        <is>
          <t>GCIA AUTOSERVICIOS Y EFECTIVO</t>
        </is>
      </c>
      <c r="B8" s="4" t="n">
        <v>9</v>
      </c>
      <c r="C8" s="4" t="n">
        <v>0</v>
      </c>
      <c r="D8" s="2">
        <f>IFERROR(C8/B8,0)</f>
        <v/>
      </c>
      <c r="E8" s="4" t="n">
        <v>3322</v>
      </c>
      <c r="F8" s="4" t="n">
        <v>0</v>
      </c>
      <c r="G8" s="5">
        <f>IFERROR(F8/E8,0)</f>
        <v/>
      </c>
      <c r="H8" s="4" t="n">
        <v>46528879540</v>
      </c>
      <c r="I8" s="4" t="n">
        <v>0</v>
      </c>
      <c r="J8" s="5">
        <f>IFERROR(I8/H8,0)</f>
        <v/>
      </c>
    </row>
    <row r="9">
      <c r="A9" t="inlineStr">
        <is>
          <t>GCIA CONTABLE Y TRIBUTARIA NEQUI</t>
        </is>
      </c>
      <c r="B9" s="4" t="n">
        <v>26</v>
      </c>
      <c r="C9" s="4" t="n">
        <v>8</v>
      </c>
      <c r="D9" s="2">
        <f>IFERROR(C9/B9,0)</f>
        <v/>
      </c>
      <c r="E9" s="4" t="n">
        <v>29529</v>
      </c>
      <c r="F9" s="4" t="n">
        <v>161</v>
      </c>
      <c r="G9" s="5">
        <f>IFERROR(F9/E9,0)</f>
        <v/>
      </c>
      <c r="H9" s="4" t="n">
        <v>476282522355</v>
      </c>
      <c r="I9" s="4" t="n">
        <v>131262339</v>
      </c>
      <c r="J9" s="5">
        <f>IFERROR(I9/H9,0)</f>
        <v/>
      </c>
    </row>
    <row r="10">
      <c r="A10" t="inlineStr">
        <is>
          <t>GCIA DE REQUERIMIENTOS LEGALES E INSTITU</t>
        </is>
      </c>
      <c r="B10" s="4" t="n">
        <v>1</v>
      </c>
      <c r="C10" s="4" t="n">
        <v>0</v>
      </c>
      <c r="D10" s="2">
        <f>IFERROR(C10/B10,0)</f>
        <v/>
      </c>
      <c r="E10" s="4" t="n">
        <v>11</v>
      </c>
      <c r="F10" s="4" t="n">
        <v>0</v>
      </c>
      <c r="G10" s="5">
        <f>IFERROR(F10/E10,0)</f>
        <v/>
      </c>
      <c r="H10" s="4" t="n">
        <v>0</v>
      </c>
      <c r="I10" s="4" t="n">
        <v>0</v>
      </c>
      <c r="J10" s="5">
        <f>IFERROR(I10/H10,0)</f>
        <v/>
      </c>
    </row>
    <row r="11">
      <c r="A11" t="inlineStr">
        <is>
          <t>GCIA DE SERV REPORTERIA LEGAL Y TRIBUT</t>
        </is>
      </c>
      <c r="B11" s="4" t="n">
        <v>1</v>
      </c>
      <c r="C11" s="4" t="n">
        <v>0</v>
      </c>
      <c r="D11" s="2">
        <f>IFERROR(C11/B11,0)</f>
        <v/>
      </c>
      <c r="E11" s="4" t="n">
        <v>19</v>
      </c>
      <c r="F11" s="4" t="n">
        <v>0</v>
      </c>
      <c r="G11" s="5">
        <f>IFERROR(F11/E11,0)</f>
        <v/>
      </c>
      <c r="H11" s="4" t="n">
        <v>879354000</v>
      </c>
      <c r="I11" s="4" t="n">
        <v>0</v>
      </c>
      <c r="J11" s="5">
        <f>IFERROR(I11/H11,0)</f>
        <v/>
      </c>
    </row>
    <row r="12">
      <c r="A12" t="inlineStr">
        <is>
          <t>GCIA LIMITES DESEMBOLSOS Y GARANTIAS</t>
        </is>
      </c>
      <c r="B12" s="4" t="n">
        <v>1</v>
      </c>
      <c r="C12" s="4" t="n">
        <v>0</v>
      </c>
      <c r="D12" s="2">
        <f>IFERROR(C12/B12,0)</f>
        <v/>
      </c>
      <c r="E12" s="4" t="n">
        <v>1</v>
      </c>
      <c r="F12" s="4" t="n">
        <v>0</v>
      </c>
      <c r="G12" s="5">
        <f>IFERROR(F12/E12,0)</f>
        <v/>
      </c>
      <c r="H12" s="4" t="n">
        <v>49387269</v>
      </c>
      <c r="I12" s="4" t="n">
        <v>0</v>
      </c>
      <c r="J12" s="5">
        <f>IFERROR(I12/H12,0)</f>
        <v/>
      </c>
    </row>
    <row r="13">
      <c r="A13" t="inlineStr">
        <is>
          <t>GCIA OP NEGOCIO INMOBILIARIO Y FACTORING</t>
        </is>
      </c>
      <c r="B13" s="4" t="n">
        <v>11</v>
      </c>
      <c r="C13" s="4" t="n">
        <v>6</v>
      </c>
      <c r="D13" s="2">
        <f>IFERROR(C13/B13,0)</f>
        <v/>
      </c>
      <c r="E13" s="4" t="n">
        <v>2251</v>
      </c>
      <c r="F13" s="4" t="n">
        <v>46</v>
      </c>
      <c r="G13" s="5">
        <f>IFERROR(F13/E13,0)</f>
        <v/>
      </c>
      <c r="H13" s="4" t="n">
        <v>2067009200</v>
      </c>
      <c r="I13" s="4" t="n">
        <v>1385225</v>
      </c>
      <c r="J13" s="5">
        <f>IFERROR(I13/H13,0)</f>
        <v/>
      </c>
    </row>
    <row r="14">
      <c r="A14" t="inlineStr">
        <is>
          <t>GCIA OPERACION DEPOSITOS PARA CLIENTES</t>
        </is>
      </c>
      <c r="B14" s="4" t="n">
        <v>10</v>
      </c>
      <c r="C14" s="4" t="n">
        <v>4</v>
      </c>
      <c r="D14" s="2">
        <f>IFERROR(C14/B14,0)</f>
        <v/>
      </c>
      <c r="E14" s="4" t="n">
        <v>1014</v>
      </c>
      <c r="F14" s="4" t="n">
        <v>6</v>
      </c>
      <c r="G14" s="5">
        <f>IFERROR(F14/E14,0)</f>
        <v/>
      </c>
      <c r="H14" s="4" t="n">
        <v>4611807738</v>
      </c>
      <c r="I14" s="4" t="n">
        <v>100379182</v>
      </c>
      <c r="J14" s="5">
        <f>IFERROR(I14/H14,0)</f>
        <v/>
      </c>
    </row>
    <row r="15">
      <c r="A15" t="inlineStr">
        <is>
          <t>GCIA OPERACION MEDIOS Y ACEPTACION PAGOS</t>
        </is>
      </c>
      <c r="B15" s="4" t="n">
        <v>81</v>
      </c>
      <c r="C15" s="4" t="n">
        <v>18</v>
      </c>
      <c r="D15" s="2">
        <f>IFERROR(C15/B15,0)</f>
        <v/>
      </c>
      <c r="E15" s="4" t="n">
        <v>357459</v>
      </c>
      <c r="F15" s="4" t="n">
        <v>4040</v>
      </c>
      <c r="G15" s="5">
        <f>IFERROR(F15/E15,0)</f>
        <v/>
      </c>
      <c r="H15" s="4" t="n">
        <v>434893556327</v>
      </c>
      <c r="I15" s="4" t="n">
        <v>2043654363</v>
      </c>
      <c r="J15" s="5">
        <f>IFERROR(I15/H15,0)</f>
        <v/>
      </c>
    </row>
    <row r="16">
      <c r="A16" t="inlineStr">
        <is>
          <t>GCIA OPERACIONES SEGUROS Y NUEVOS FLUJOS</t>
        </is>
      </c>
      <c r="B16" s="4" t="n">
        <v>1</v>
      </c>
      <c r="C16" s="4" t="n">
        <v>1</v>
      </c>
      <c r="D16" s="2">
        <f>IFERROR(C16/B16,0)</f>
        <v/>
      </c>
      <c r="E16" s="4" t="n">
        <v>1</v>
      </c>
      <c r="F16" s="4" t="n">
        <v>1</v>
      </c>
      <c r="G16" s="5">
        <f>IFERROR(F16/E16,0)</f>
        <v/>
      </c>
      <c r="H16" s="4" t="n">
        <v>1025947950</v>
      </c>
      <c r="I16" s="4" t="n">
        <v>1025947950</v>
      </c>
      <c r="J16" s="5">
        <f>IFERROR(I16/H16,0)</f>
        <v/>
      </c>
    </row>
    <row r="17">
      <c r="A17" t="inlineStr">
        <is>
          <t>GCIA SERV FINANCIEROS MERCADO CAPITALES</t>
        </is>
      </c>
      <c r="B17" s="4" t="n">
        <v>4</v>
      </c>
      <c r="C17" s="4" t="n">
        <v>0</v>
      </c>
      <c r="D17" s="2">
        <f>IFERROR(C17/B17,0)</f>
        <v/>
      </c>
      <c r="E17" s="4" t="n">
        <v>9</v>
      </c>
      <c r="F17" s="4" t="n">
        <v>0</v>
      </c>
      <c r="G17" s="5">
        <f>IFERROR(F17/E17,0)</f>
        <v/>
      </c>
      <c r="H17" s="4" t="n">
        <v>53569914</v>
      </c>
      <c r="I17" s="4" t="n">
        <v>0</v>
      </c>
      <c r="J17" s="5">
        <f>IFERROR(I17/H17,0)</f>
        <v/>
      </c>
    </row>
    <row r="18">
      <c r="A18" t="inlineStr">
        <is>
          <t>GCIA SERVICIOS CONTABLES ADMINISTRATIVOS</t>
        </is>
      </c>
      <c r="B18" s="4" t="n">
        <v>2</v>
      </c>
      <c r="C18" s="4" t="n">
        <v>2</v>
      </c>
      <c r="D18" s="2">
        <f>IFERROR(C18/B18,0)</f>
        <v/>
      </c>
      <c r="E18" s="4" t="n">
        <v>473</v>
      </c>
      <c r="F18" s="4" t="n">
        <v>2</v>
      </c>
      <c r="G18" s="5">
        <f>IFERROR(F18/E18,0)</f>
        <v/>
      </c>
      <c r="H18" s="4" t="n">
        <v>1735186694</v>
      </c>
      <c r="I18" s="4" t="n">
        <v>119938287</v>
      </c>
      <c r="J18" s="5">
        <f>IFERROR(I18/H18,0)</f>
        <v/>
      </c>
    </row>
    <row r="19">
      <c r="A19" t="inlineStr">
        <is>
          <t>GCIA SERVICIOS DE NOMINA A EMPLEADOS</t>
        </is>
      </c>
      <c r="B19" s="4" t="n">
        <v>3</v>
      </c>
      <c r="C19" s="4" t="n">
        <v>1</v>
      </c>
      <c r="D19" s="2">
        <f>IFERROR(C19/B19,0)</f>
        <v/>
      </c>
      <c r="E19" s="4" t="n">
        <v>60</v>
      </c>
      <c r="F19" s="4" t="n">
        <v>29</v>
      </c>
      <c r="G19" s="5">
        <f>IFERROR(F19/E19,0)</f>
        <v/>
      </c>
      <c r="H19" s="4" t="n">
        <v>272959617</v>
      </c>
      <c r="I19" s="4" t="n">
        <v>215364473</v>
      </c>
      <c r="J19" s="5">
        <f>IFERROR(I19/H19,0)</f>
        <v/>
      </c>
    </row>
    <row r="20">
      <c r="A20" t="inlineStr">
        <is>
          <t>GCIA SERVICIOS FINANCIEROS CORPORATIVOS</t>
        </is>
      </c>
      <c r="B20" s="4" t="n">
        <v>1</v>
      </c>
      <c r="C20" s="4" t="n">
        <v>1</v>
      </c>
      <c r="D20" s="2">
        <f>IFERROR(C20/B20,0)</f>
        <v/>
      </c>
      <c r="E20" s="4" t="n">
        <v>1</v>
      </c>
      <c r="F20" s="4" t="n">
        <v>1</v>
      </c>
      <c r="G20" s="5">
        <f>IFERROR(F20/E20,0)</f>
        <v/>
      </c>
      <c r="H20" s="4" t="n">
        <v>100730000</v>
      </c>
      <c r="I20" s="4" t="n">
        <v>100730000</v>
      </c>
      <c r="J20" s="5">
        <f>IFERROR(I20/H20,0)</f>
        <v/>
      </c>
    </row>
    <row r="21">
      <c r="A21" t="inlineStr">
        <is>
          <t>GCIA SERVICIOS GESTION DEL FRAUDE</t>
        </is>
      </c>
      <c r="B21" s="4" t="n">
        <v>3</v>
      </c>
      <c r="C21" s="4" t="n">
        <v>1</v>
      </c>
      <c r="D21" s="2">
        <f>IFERROR(C21/B21,0)</f>
        <v/>
      </c>
      <c r="E21" s="4" t="n">
        <v>15908</v>
      </c>
      <c r="F21" s="4" t="n">
        <v>2</v>
      </c>
      <c r="G21" s="5">
        <f>IFERROR(F21/E21,0)</f>
        <v/>
      </c>
      <c r="H21" s="4" t="n">
        <v>10453116046</v>
      </c>
      <c r="I21" s="4" t="n">
        <v>757215</v>
      </c>
      <c r="J21" s="5">
        <f>IFERROR(I21/H21,0)</f>
        <v/>
      </c>
    </row>
    <row r="22">
      <c r="A22" t="inlineStr">
        <is>
          <t>GCIA SERVICIOS INVERSIONES Y TESORERIA</t>
        </is>
      </c>
      <c r="B22" s="4" t="n">
        <v>1</v>
      </c>
      <c r="C22" s="4" t="n">
        <v>0</v>
      </c>
      <c r="D22" s="2">
        <f>IFERROR(C22/B22,0)</f>
        <v/>
      </c>
      <c r="E22" s="4" t="n">
        <v>9</v>
      </c>
      <c r="F22" s="4" t="n">
        <v>0</v>
      </c>
      <c r="G22" s="5">
        <f>IFERROR(F22/E22,0)</f>
        <v/>
      </c>
      <c r="H22" s="4" t="n">
        <v>0</v>
      </c>
      <c r="I22" s="4" t="n">
        <v>0</v>
      </c>
      <c r="J22" s="5">
        <f>IFERROR(I22/H22,0)</f>
        <v/>
      </c>
    </row>
    <row r="23">
      <c r="A23" t="inlineStr">
        <is>
          <t>GERENCIA DE SERVICIOS DE COBRANZA Y BRP</t>
        </is>
      </c>
      <c r="B23" s="4" t="n">
        <v>6</v>
      </c>
      <c r="C23" s="4" t="n">
        <v>3</v>
      </c>
      <c r="D23" s="2">
        <f>IFERROR(C23/B23,0)</f>
        <v/>
      </c>
      <c r="E23" s="4" t="n">
        <v>11231</v>
      </c>
      <c r="F23" s="4" t="n">
        <v>2239</v>
      </c>
      <c r="G23" s="5">
        <f>IFERROR(F23/E23,0)</f>
        <v/>
      </c>
      <c r="H23" s="4" t="n">
        <v>7418616076</v>
      </c>
      <c r="I23" s="4" t="n">
        <v>3307034014</v>
      </c>
      <c r="J23" s="5">
        <f>IFERROR(I23/H23,0)</f>
        <v/>
      </c>
    </row>
    <row r="24">
      <c r="A24" t="inlineStr">
        <is>
          <t>GERENCIA OPERACION CASH MANAGEMENT</t>
        </is>
      </c>
      <c r="B24" s="4" t="n">
        <v>1</v>
      </c>
      <c r="C24" s="4" t="n">
        <v>1</v>
      </c>
      <c r="D24" s="2">
        <f>IFERROR(C24/B24,0)</f>
        <v/>
      </c>
      <c r="E24" s="4" t="n">
        <v>11</v>
      </c>
      <c r="F24" s="4" t="n">
        <v>2</v>
      </c>
      <c r="G24" s="5">
        <f>IFERROR(F24/E24,0)</f>
        <v/>
      </c>
      <c r="H24" s="4" t="n">
        <v>125581419</v>
      </c>
      <c r="I24" s="4" t="n">
        <v>0</v>
      </c>
      <c r="J24" s="5">
        <f>IFERROR(I24/H24,0)</f>
        <v/>
      </c>
    </row>
    <row r="25">
      <c r="A25" t="inlineStr">
        <is>
          <t>GERENCIA OPERACION DE FINANCIACION</t>
        </is>
      </c>
      <c r="B25" s="4" t="n">
        <v>6</v>
      </c>
      <c r="C25" s="4" t="n">
        <v>1</v>
      </c>
      <c r="D25" s="2">
        <f>IFERROR(C25/B25,0)</f>
        <v/>
      </c>
      <c r="E25" s="4" t="n">
        <v>478</v>
      </c>
      <c r="F25" s="4" t="n">
        <v>4</v>
      </c>
      <c r="G25" s="5">
        <f>IFERROR(F25/E25,0)</f>
        <v/>
      </c>
      <c r="H25" s="4" t="n">
        <v>600000</v>
      </c>
      <c r="I25" s="4" t="n">
        <v>0</v>
      </c>
      <c r="J25" s="5">
        <f>IFERROR(I25/H25,0)</f>
        <v/>
      </c>
    </row>
    <row r="26">
      <c r="A26" t="inlineStr">
        <is>
          <t>LDC PRODUCTO VIDA Y SALUD</t>
        </is>
      </c>
      <c r="B26" s="4" t="n">
        <v>1</v>
      </c>
      <c r="C26" s="4" t="n">
        <v>0</v>
      </c>
      <c r="D26" s="2">
        <f>IFERROR(C26/B26,0)</f>
        <v/>
      </c>
      <c r="E26" s="4" t="n">
        <v>1</v>
      </c>
      <c r="F26" s="4" t="n">
        <v>0</v>
      </c>
      <c r="G26" s="5">
        <f>IFERROR(F26/E26,0)</f>
        <v/>
      </c>
      <c r="H26" s="4" t="n">
        <v>376589540</v>
      </c>
      <c r="I26" s="4" t="n">
        <v>0</v>
      </c>
      <c r="J26" s="5">
        <f>IFERROR(I26/H26,0)</f>
        <v/>
      </c>
    </row>
    <row r="27">
      <c r="A27" t="inlineStr">
        <is>
          <t>Total general</t>
        </is>
      </c>
      <c r="B27" s="4" t="n">
        <v>187</v>
      </c>
      <c r="C27" s="4" t="n">
        <v>49</v>
      </c>
      <c r="D27" s="2">
        <f>IFERROR(C27/B27,0)</f>
        <v/>
      </c>
      <c r="E27" s="4" t="n">
        <v>427747</v>
      </c>
      <c r="F27" s="4" t="n">
        <v>6553</v>
      </c>
      <c r="G27" s="5">
        <f>IFERROR(F27/E27,0)</f>
        <v/>
      </c>
      <c r="H27" s="4" t="n">
        <v>995230783229</v>
      </c>
      <c r="I27" s="4" t="n">
        <v>7132108399</v>
      </c>
      <c r="J27" s="5">
        <f>IFERROR(I27/H27,0)</f>
        <v/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>
      <c r="A83" s="1" t="inlineStr">
        <is>
          <t>Gerencia</t>
        </is>
      </c>
      <c r="B83" s="1" t="inlineStr">
        <is>
          <t>Cantidad alertas</t>
        </is>
      </c>
      <c r="C83" s="1" t="inlineStr">
        <is>
          <t>Alertas con reproceso</t>
        </is>
      </c>
      <c r="D83" s="1" t="inlineStr">
        <is>
          <t>Alertas sin reproceso</t>
        </is>
      </c>
      <c r="E83" s="1" t="inlineStr">
        <is>
          <t>Calidad Gerencia</t>
        </is>
      </c>
    </row>
    <row r="84">
      <c r="A84" t="inlineStr">
        <is>
          <t>GCIA ESTADOS FINANCIEROS</t>
        </is>
      </c>
      <c r="B84" t="n">
        <v>170</v>
      </c>
      <c r="C84" t="n">
        <v>0</v>
      </c>
      <c r="D84" t="n">
        <v>170</v>
      </c>
      <c r="E84" s="2" t="n">
        <v>0</v>
      </c>
    </row>
    <row r="85">
      <c r="A85" t="inlineStr">
        <is>
          <t>GCIA ADMINISTRACION DEL ACTIVO</t>
        </is>
      </c>
      <c r="B85" t="n">
        <v>51</v>
      </c>
      <c r="C85" t="n">
        <v>0</v>
      </c>
      <c r="D85" t="n">
        <v>51</v>
      </c>
      <c r="E85" s="2" t="n">
        <v>0</v>
      </c>
    </row>
    <row r="86">
      <c r="A86" t="inlineStr">
        <is>
          <t>GCIA CONTABLE Y TRIBUTARIA NEQUI</t>
        </is>
      </c>
      <c r="B86" t="n">
        <v>422</v>
      </c>
      <c r="C86" t="n">
        <v>5</v>
      </c>
      <c r="D86" t="n">
        <v>417</v>
      </c>
      <c r="E86" s="2" t="n">
        <v>0.01184834123222744</v>
      </c>
    </row>
    <row r="87">
      <c r="A87" t="inlineStr">
        <is>
          <t>GCIA OPERACION MEDIOS Y ACEPTACION PAGOS</t>
        </is>
      </c>
      <c r="B87" t="n">
        <v>1544</v>
      </c>
      <c r="C87" t="n">
        <v>15</v>
      </c>
      <c r="D87" t="n">
        <v>1529</v>
      </c>
      <c r="E87" s="2" t="n">
        <v>0.009715025906735786</v>
      </c>
    </row>
    <row r="88">
      <c r="A88" t="inlineStr">
        <is>
          <t>GCIA AUTOSERVICIOS Y EFECTIVO</t>
        </is>
      </c>
      <c r="B88" t="n">
        <v>281</v>
      </c>
      <c r="C88" t="n">
        <v>5</v>
      </c>
      <c r="D88" t="n">
        <v>276</v>
      </c>
      <c r="E88" s="2" t="n">
        <v>0.01779359430604988</v>
      </c>
    </row>
    <row r="89">
      <c r="A89" t="inlineStr">
        <is>
          <t>GERENCIA DE SERVICIOS DE COBRANZA Y BRP</t>
        </is>
      </c>
      <c r="B89" t="n">
        <v>168</v>
      </c>
      <c r="C89" t="n">
        <v>0</v>
      </c>
      <c r="D89" t="n">
        <v>168</v>
      </c>
      <c r="E89" s="2" t="n">
        <v>0</v>
      </c>
    </row>
    <row r="90">
      <c r="A90" t="inlineStr">
        <is>
          <t>GCIA OPERACION DEPOSITOS PARA CLIENTES</t>
        </is>
      </c>
      <c r="B90" t="n">
        <v>762</v>
      </c>
      <c r="C90" t="n">
        <v>0</v>
      </c>
      <c r="D90" t="n">
        <v>762</v>
      </c>
      <c r="E90" s="2" t="n">
        <v>0</v>
      </c>
    </row>
    <row r="91">
      <c r="A91" t="inlineStr">
        <is>
          <t>EVC SERVICIOS ESTRATEGICOS NEGOCIO LRU</t>
        </is>
      </c>
      <c r="B91" t="n">
        <v>579</v>
      </c>
      <c r="C91" t="n">
        <v>3</v>
      </c>
      <c r="D91" t="n">
        <v>576</v>
      </c>
      <c r="E91" s="2" t="n">
        <v>0.005181347150259086</v>
      </c>
    </row>
    <row r="92">
      <c r="A92" t="inlineStr">
        <is>
          <t>GCIA MONITOREO CONTROL Y CUMP TRIBUTARIO</t>
        </is>
      </c>
      <c r="B92" t="n">
        <v>7</v>
      </c>
      <c r="C92" t="n">
        <v>0</v>
      </c>
      <c r="D92" t="n">
        <v>7</v>
      </c>
      <c r="E92" s="2" t="n">
        <v>0</v>
      </c>
    </row>
    <row r="93">
      <c r="A93" t="inlineStr">
        <is>
          <t>GCIA OPERACIONES SEGUROS Y NUEVOS FLUJOS</t>
        </is>
      </c>
      <c r="B93" t="n">
        <v>143</v>
      </c>
      <c r="C93" t="n">
        <v>0</v>
      </c>
      <c r="D93" t="n">
        <v>143</v>
      </c>
      <c r="E93" s="2" t="n">
        <v>0</v>
      </c>
    </row>
    <row r="94">
      <c r="A94" t="inlineStr">
        <is>
          <t>GERENCIA OPERACION CASH MANAGEMENT</t>
        </is>
      </c>
      <c r="B94" t="n">
        <v>186</v>
      </c>
      <c r="C94" t="n">
        <v>2</v>
      </c>
      <c r="D94" t="n">
        <v>184</v>
      </c>
      <c r="E94" s="2" t="n">
        <v>0.010752688172043</v>
      </c>
    </row>
    <row r="95">
      <c r="A95" t="inlineStr">
        <is>
          <t>GERENCIA SERVICIOS LOGISTICOS</t>
        </is>
      </c>
      <c r="B95" t="n">
        <v>32</v>
      </c>
      <c r="C95" t="n">
        <v>0</v>
      </c>
      <c r="D95" t="n">
        <v>32</v>
      </c>
      <c r="E95" s="2" t="n">
        <v>0</v>
      </c>
    </row>
    <row r="96">
      <c r="A96" t="inlineStr">
        <is>
          <t>GCIA SEGURIDAD DE PERSONAS E INF FISICA</t>
        </is>
      </c>
      <c r="B96" t="n">
        <v>3</v>
      </c>
      <c r="C96" t="n">
        <v>1</v>
      </c>
      <c r="D96" t="n">
        <v>2</v>
      </c>
      <c r="E96" s="2" t="n">
        <v>0.3333333333333334</v>
      </c>
    </row>
    <row r="97">
      <c r="A97" t="inlineStr">
        <is>
          <t>GCIA DE CREDITO HIPOTECARIO</t>
        </is>
      </c>
      <c r="B97" t="n">
        <v>4</v>
      </c>
      <c r="C97" t="n">
        <v>0</v>
      </c>
      <c r="D97" t="n">
        <v>4</v>
      </c>
      <c r="E97" s="2" t="n">
        <v>0</v>
      </c>
    </row>
    <row r="98">
      <c r="A98" t="inlineStr">
        <is>
          <t>GCIA GESTION INMOBILIARIA</t>
        </is>
      </c>
      <c r="B98" t="n">
        <v>67</v>
      </c>
      <c r="C98" t="n">
        <v>1</v>
      </c>
      <c r="D98" t="n">
        <v>66</v>
      </c>
      <c r="E98" s="2" t="n">
        <v>0.0149253731343284</v>
      </c>
    </row>
    <row r="99">
      <c r="A99" t="inlineStr">
        <is>
          <t>GCIA ATENCION AL CLIENTE</t>
        </is>
      </c>
      <c r="B99" t="n">
        <v>9</v>
      </c>
      <c r="C99" t="n">
        <v>0</v>
      </c>
      <c r="D99" t="n">
        <v>9</v>
      </c>
      <c r="E99" s="2" t="n">
        <v>0</v>
      </c>
    </row>
    <row r="100">
      <c r="A100" t="inlineStr">
        <is>
          <t>GCIA DE REQUERIMIENTOS LEGALES E INSTITU</t>
        </is>
      </c>
      <c r="B100" t="n">
        <v>19</v>
      </c>
      <c r="C100" t="n">
        <v>0</v>
      </c>
      <c r="D100" t="n">
        <v>19</v>
      </c>
      <c r="E100" s="2" t="n">
        <v>0</v>
      </c>
    </row>
    <row r="101">
      <c r="A101" t="inlineStr">
        <is>
          <t>FOMENTO LEASING RENTA Y USO</t>
        </is>
      </c>
      <c r="B101" t="n">
        <v>35</v>
      </c>
      <c r="C101" t="n">
        <v>5</v>
      </c>
      <c r="D101" t="n">
        <v>30</v>
      </c>
      <c r="E101" s="2" t="n">
        <v>0.1428571428571429</v>
      </c>
    </row>
    <row r="102">
      <c r="A102" t="inlineStr">
        <is>
          <t>GCIA ATRACCION DEL TALENTO</t>
        </is>
      </c>
      <c r="B102" t="n">
        <v>3</v>
      </c>
      <c r="C102" t="n">
        <v>0</v>
      </c>
      <c r="D102" t="n">
        <v>3</v>
      </c>
      <c r="E102" s="2" t="n">
        <v>0</v>
      </c>
    </row>
    <row r="103">
      <c r="A103" t="inlineStr">
        <is>
          <t>ADC DISEÑO Y OPERACION TELCO TI</t>
        </is>
      </c>
      <c r="B103" t="n">
        <v>1</v>
      </c>
      <c r="C103" t="n">
        <v>0</v>
      </c>
      <c r="D103" t="n">
        <v>1</v>
      </c>
      <c r="E103" s="2" t="n">
        <v>0</v>
      </c>
    </row>
    <row r="104">
      <c r="A104" t="inlineStr">
        <is>
          <t>GCIA SERV FINANCIEROS MERCADO CAPITALES</t>
        </is>
      </c>
      <c r="B104" t="n">
        <v>2594</v>
      </c>
      <c r="C104" t="n">
        <v>6</v>
      </c>
      <c r="D104" t="n">
        <v>2588</v>
      </c>
      <c r="E104" s="2" t="n">
        <v>0.002313030069390876</v>
      </c>
    </row>
    <row r="105">
      <c r="A105" t="inlineStr">
        <is>
          <t>GCIA OP NEGOCIO INMOBILIARIO Y FACTORING</t>
        </is>
      </c>
      <c r="B105" t="n">
        <v>666</v>
      </c>
      <c r="C105" t="n">
        <v>7</v>
      </c>
      <c r="D105" t="n">
        <v>659</v>
      </c>
      <c r="E105" s="2" t="n">
        <v>0.01051051051051055</v>
      </c>
    </row>
    <row r="106">
      <c r="A106" t="inlineStr">
        <is>
          <t>GERENCIA OPERACION DE FINANCIACION</t>
        </is>
      </c>
      <c r="B106" t="n">
        <v>874</v>
      </c>
      <c r="C106" t="n">
        <v>0</v>
      </c>
      <c r="D106" t="n">
        <v>874</v>
      </c>
      <c r="E106" s="2" t="n">
        <v>0</v>
      </c>
    </row>
    <row r="107">
      <c r="A107" t="inlineStr">
        <is>
          <t>GCIA SERVICIOS CONTABLES ADMINISTRATIVOS</t>
        </is>
      </c>
      <c r="B107" t="n">
        <v>172</v>
      </c>
      <c r="C107" t="n">
        <v>2</v>
      </c>
      <c r="D107" t="n">
        <v>170</v>
      </c>
      <c r="E107" s="2" t="n">
        <v>0.01162790697674421</v>
      </c>
    </row>
    <row r="108">
      <c r="A108" t="inlineStr">
        <is>
          <t>GCIA SERVICIOS FINANCIEROS CORPORATIVOS</t>
        </is>
      </c>
      <c r="B108" t="n">
        <v>903</v>
      </c>
      <c r="C108" t="n">
        <v>3</v>
      </c>
      <c r="D108" t="n">
        <v>900</v>
      </c>
      <c r="E108" s="2" t="n">
        <v>0.003322259136212646</v>
      </c>
    </row>
    <row r="109">
      <c r="A109" t="inlineStr">
        <is>
          <t>GCIA SERVICIOS GESTION DEL FRAUDE</t>
        </is>
      </c>
      <c r="B109" t="n">
        <v>87</v>
      </c>
      <c r="C109" t="n">
        <v>0</v>
      </c>
      <c r="D109" t="n">
        <v>87</v>
      </c>
      <c r="E109" s="2" t="n">
        <v>0</v>
      </c>
    </row>
    <row r="110">
      <c r="A110" t="inlineStr">
        <is>
          <t>OPERACION Y ANALITICA ECOSISTEMAS</t>
        </is>
      </c>
      <c r="B110" t="n">
        <v>35</v>
      </c>
      <c r="C110" t="n">
        <v>0</v>
      </c>
      <c r="D110" t="n">
        <v>35</v>
      </c>
      <c r="E110" s="2" t="n">
        <v>0</v>
      </c>
    </row>
    <row r="111">
      <c r="A111" t="inlineStr">
        <is>
          <t>EVC SERVICIOS PARA EL NEGOCIO SUFI</t>
        </is>
      </c>
      <c r="B111" t="n">
        <v>390</v>
      </c>
      <c r="C111" t="n">
        <v>14</v>
      </c>
      <c r="D111" t="n">
        <v>376</v>
      </c>
      <c r="E111" s="2" t="n">
        <v>0.03589743589743588</v>
      </c>
    </row>
    <row r="112">
      <c r="A112" t="inlineStr">
        <is>
          <t>GCIA SERVICIOS DE NOMINA A EMPLEADOS</t>
        </is>
      </c>
      <c r="B112" t="n">
        <v>99</v>
      </c>
      <c r="C112" t="n">
        <v>0</v>
      </c>
      <c r="D112" t="n">
        <v>99</v>
      </c>
      <c r="E112" s="2" t="n">
        <v>0</v>
      </c>
    </row>
    <row r="113">
      <c r="A113" t="inlineStr">
        <is>
          <t>GCIA DE SERV REPORTERIA LEGAL Y TRIBUT</t>
        </is>
      </c>
      <c r="B113" t="n">
        <v>36</v>
      </c>
      <c r="C113" t="n">
        <v>0</v>
      </c>
      <c r="D113" t="n">
        <v>36</v>
      </c>
      <c r="E113" s="2" t="n">
        <v>0</v>
      </c>
    </row>
    <row r="114">
      <c r="A114" t="inlineStr">
        <is>
          <t>GCIA DE TRANSFORMACION DE LITIGIOS</t>
        </is>
      </c>
      <c r="B114" t="n">
        <v>16</v>
      </c>
      <c r="C114" t="n">
        <v>0</v>
      </c>
      <c r="D114" t="n">
        <v>16</v>
      </c>
      <c r="E114" s="2" t="n">
        <v>0</v>
      </c>
    </row>
    <row r="115">
      <c r="A115" t="inlineStr">
        <is>
          <t>ADC GESTION DE LA OPERACION</t>
        </is>
      </c>
      <c r="B115" t="n">
        <v>9</v>
      </c>
      <c r="C115" t="n">
        <v>0</v>
      </c>
      <c r="D115" t="n">
        <v>9</v>
      </c>
      <c r="E115" s="2" t="n">
        <v>0</v>
      </c>
    </row>
    <row r="116">
      <c r="A116" t="inlineStr">
        <is>
          <t>GERENCIA OPERACIONES TALENTO Y CULTURA</t>
        </is>
      </c>
      <c r="B116" t="n">
        <v>2</v>
      </c>
      <c r="C116" t="n">
        <v>0</v>
      </c>
      <c r="D116" t="n">
        <v>2</v>
      </c>
      <c r="E116" s="2" t="n">
        <v>0</v>
      </c>
    </row>
    <row r="117">
      <c r="A117" t="inlineStr">
        <is>
          <t>LDC FC SITIO DE CONTENIDOS</t>
        </is>
      </c>
      <c r="B117" t="n">
        <v>1</v>
      </c>
      <c r="C117" t="n">
        <v>0</v>
      </c>
      <c r="D117" t="n">
        <v>1</v>
      </c>
      <c r="E117" s="2" t="n">
        <v>0</v>
      </c>
    </row>
    <row r="118">
      <c r="A118" t="inlineStr">
        <is>
          <t>GCIA APRENDIZAJE</t>
        </is>
      </c>
      <c r="B118" t="n">
        <v>1</v>
      </c>
      <c r="C118" t="n">
        <v>0</v>
      </c>
      <c r="D118" t="n">
        <v>1</v>
      </c>
      <c r="E118" s="2" t="n">
        <v>0</v>
      </c>
    </row>
    <row r="119">
      <c r="A119" t="inlineStr">
        <is>
          <t>Total general</t>
        </is>
      </c>
      <c r="B119" t="n">
        <v>10372</v>
      </c>
      <c r="C119" t="n">
        <v>69</v>
      </c>
      <c r="D119" t="n">
        <v>10303</v>
      </c>
      <c r="E119" s="2" t="n">
        <v>0.006652526031623585</v>
      </c>
    </row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>
      <c r="A180" t="inlineStr">
        <is>
          <t>GERENCIA</t>
        </is>
      </c>
      <c r="B180" t="inlineStr">
        <is>
          <t>FECHA CERTIFICACIÓN</t>
        </is>
      </c>
      <c r="C180" t="inlineStr">
        <is>
          <t>FECHA OBJETIVO</t>
        </is>
      </c>
      <c r="D180" t="inlineStr">
        <is>
          <t>INDICADOR</t>
        </is>
      </c>
    </row>
    <row r="181">
      <c r="A181" t="inlineStr">
        <is>
          <t>ADC DISEÑO Y OPERACION TELCO TI</t>
        </is>
      </c>
      <c r="B181" t="inlineStr">
        <is>
          <t>06/02/2026</t>
        </is>
      </c>
      <c r="C181" t="inlineStr">
        <is>
          <t>2026-02-06 00:00:00</t>
        </is>
      </c>
      <c r="D181" s="2" t="n">
        <v>0</v>
      </c>
    </row>
    <row r="182">
      <c r="A182" t="inlineStr">
        <is>
          <t>ADC GESTION DE LA OPERACION</t>
        </is>
      </c>
      <c r="B182" t="inlineStr">
        <is>
          <t>09/02/2026</t>
        </is>
      </c>
      <c r="C182" t="inlineStr">
        <is>
          <t>2026-02-06 00:00:00</t>
        </is>
      </c>
      <c r="D182" s="2" t="n">
        <v>0.1071428571428571</v>
      </c>
    </row>
    <row r="183">
      <c r="A183" t="inlineStr">
        <is>
          <t>ADMON FINANCIERA VP SERV CORP</t>
        </is>
      </c>
      <c r="B183" t="inlineStr">
        <is>
          <t>03/02/2026</t>
        </is>
      </c>
      <c r="C183" t="inlineStr">
        <is>
          <t>2026-02-06 00:00:00</t>
        </is>
      </c>
      <c r="D183" s="2" t="n">
        <v>0</v>
      </c>
    </row>
    <row r="184">
      <c r="A184" t="inlineStr">
        <is>
          <t>EVC EVOLUCION DIGITAL</t>
        </is>
      </c>
      <c r="B184" t="inlineStr">
        <is>
          <t>09/02/2026</t>
        </is>
      </c>
      <c r="C184" t="inlineStr">
        <is>
          <t>2026-02-06 00:00:00</t>
        </is>
      </c>
      <c r="D184" s="2" t="n">
        <v>0.1071428571428571</v>
      </c>
    </row>
    <row r="185">
      <c r="A185" t="inlineStr">
        <is>
          <t>EVC SERVICIOS ESTRATEGICOS NEGOCIO LRU</t>
        </is>
      </c>
      <c r="B185" t="inlineStr">
        <is>
          <t>12/02/2026</t>
        </is>
      </c>
      <c r="C185" t="inlineStr">
        <is>
          <t>2026-02-06 00:00:00</t>
        </is>
      </c>
      <c r="D185" s="2" t="n">
        <v>0.2142857142857142</v>
      </c>
    </row>
    <row r="186">
      <c r="A186" t="inlineStr">
        <is>
          <t>EVC SERVICIOS PARA EL NEGOCIO SUFI</t>
        </is>
      </c>
      <c r="B186" t="inlineStr">
        <is>
          <t>09/02/2026</t>
        </is>
      </c>
      <c r="C186" t="inlineStr">
        <is>
          <t>2026-02-06 00:00:00</t>
        </is>
      </c>
      <c r="D186" s="2" t="n">
        <v>0.1071428571428571</v>
      </c>
    </row>
    <row r="187">
      <c r="A187" t="inlineStr">
        <is>
          <t>FOMENTO LEASING RENTA Y USO</t>
        </is>
      </c>
      <c r="B187" t="inlineStr">
        <is>
          <t>02/02/2026</t>
        </is>
      </c>
      <c r="C187" t="inlineStr">
        <is>
          <t>2026-02-06 00:00:00</t>
        </is>
      </c>
      <c r="D187" s="2" t="n">
        <v>0</v>
      </c>
    </row>
    <row r="188">
      <c r="A188" t="inlineStr">
        <is>
          <t>GCIA ADMIN NEG PUBLICOS Y CONCESIONES 2</t>
        </is>
      </c>
      <c r="B188" t="inlineStr">
        <is>
          <t>04/02/2026</t>
        </is>
      </c>
      <c r="C188" t="inlineStr">
        <is>
          <t>2026-02-06 00:00:00</t>
        </is>
      </c>
      <c r="D188" s="2" t="n">
        <v>0</v>
      </c>
    </row>
    <row r="189">
      <c r="A189" t="inlineStr">
        <is>
          <t>GCIA ADMINISTRACION DE ALIANZAS</t>
        </is>
      </c>
      <c r="B189" t="inlineStr">
        <is>
          <t>09/02/2026</t>
        </is>
      </c>
      <c r="C189" t="inlineStr">
        <is>
          <t>2026-02-06 00:00:00</t>
        </is>
      </c>
      <c r="D189" s="2" t="n">
        <v>0.1071428571428571</v>
      </c>
    </row>
    <row r="190">
      <c r="A190" t="inlineStr">
        <is>
          <t>GCIA ADMINISTRACION DEL ACTIVO</t>
        </is>
      </c>
      <c r="B190" t="inlineStr">
        <is>
          <t>04/02/2026</t>
        </is>
      </c>
      <c r="C190" t="inlineStr">
        <is>
          <t>2026-02-06 00:00:00</t>
        </is>
      </c>
      <c r="D190" s="2" t="n">
        <v>0</v>
      </c>
    </row>
    <row r="191">
      <c r="A191" t="inlineStr">
        <is>
          <t>GCIA APRENDIZAJE</t>
        </is>
      </c>
      <c r="B191" t="inlineStr">
        <is>
          <t>05/02/2026</t>
        </is>
      </c>
      <c r="C191" t="inlineStr">
        <is>
          <t>2026-02-06 00:00:00</t>
        </is>
      </c>
      <c r="D191" s="2" t="n">
        <v>0</v>
      </c>
    </row>
    <row r="192">
      <c r="A192" t="inlineStr">
        <is>
          <t>GCIA ATENCION AL CLIENTE</t>
        </is>
      </c>
      <c r="B192" t="inlineStr">
        <is>
          <t>03/02/2026</t>
        </is>
      </c>
      <c r="C192" t="inlineStr">
        <is>
          <t>2026-02-06 00:00:00</t>
        </is>
      </c>
      <c r="D192" s="2" t="n">
        <v>0</v>
      </c>
    </row>
    <row r="193">
      <c r="A193" t="inlineStr">
        <is>
          <t>GCIA ATRACCION DEL TALENTO</t>
        </is>
      </c>
      <c r="B193" t="inlineStr">
        <is>
          <t>03/02/2026</t>
        </is>
      </c>
      <c r="C193" t="inlineStr">
        <is>
          <t>2026-02-06 00:00:00</t>
        </is>
      </c>
      <c r="D193" s="2" t="n">
        <v>0</v>
      </c>
    </row>
    <row r="194">
      <c r="A194" t="inlineStr">
        <is>
          <t>GCIA AUTOSERVICIOS Y EFECTIVO</t>
        </is>
      </c>
      <c r="B194" t="inlineStr">
        <is>
          <t>06/02/2026</t>
        </is>
      </c>
      <c r="C194" t="inlineStr">
        <is>
          <t>2026-02-06 00:00:00</t>
        </is>
      </c>
      <c r="D194" s="2" t="n">
        <v>0</v>
      </c>
    </row>
    <row r="195">
      <c r="A195" t="inlineStr">
        <is>
          <t>GCIA CONTABLE Y TRIBUTARIA NEQUI</t>
        </is>
      </c>
      <c r="B195" t="inlineStr">
        <is>
          <t>10/02/2026</t>
        </is>
      </c>
      <c r="C195" t="inlineStr">
        <is>
          <t>2026-02-06 00:00:00</t>
        </is>
      </c>
      <c r="D195" s="2" t="n">
        <v>0.1428571428571428</v>
      </c>
    </row>
    <row r="196">
      <c r="A196" t="inlineStr">
        <is>
          <t>GCIA DE BIENESTAR</t>
        </is>
      </c>
      <c r="B196" t="inlineStr">
        <is>
          <t>02/02/2026</t>
        </is>
      </c>
      <c r="C196" t="inlineStr">
        <is>
          <t>2026-02-06 00:00:00</t>
        </is>
      </c>
      <c r="D196" s="2" t="n">
        <v>0</v>
      </c>
    </row>
    <row r="197">
      <c r="A197" t="inlineStr">
        <is>
          <t>GCIA DE CREDITO HIPOTECARIO</t>
        </is>
      </c>
      <c r="B197" t="inlineStr">
        <is>
          <t>02/02/2026</t>
        </is>
      </c>
      <c r="C197" t="inlineStr">
        <is>
          <t>2026-02-06 00:00:00</t>
        </is>
      </c>
      <c r="D197" s="2" t="n">
        <v>0</v>
      </c>
    </row>
    <row r="198">
      <c r="A198" t="inlineStr">
        <is>
          <t>GCIA DE REQUERIMIENTOS LEGALES E INSTITU</t>
        </is>
      </c>
      <c r="B198" t="inlineStr">
        <is>
          <t>02/02/2026</t>
        </is>
      </c>
      <c r="C198" t="inlineStr">
        <is>
          <t>2026-02-06 00:00:00</t>
        </is>
      </c>
      <c r="D198" s="2" t="n">
        <v>0</v>
      </c>
    </row>
    <row r="199">
      <c r="A199" t="inlineStr">
        <is>
          <t>GCIA DE SERV REPORTERIA LEGAL Y TRIBUT</t>
        </is>
      </c>
      <c r="B199" t="inlineStr">
        <is>
          <t>10/02/2026</t>
        </is>
      </c>
      <c r="C199" t="inlineStr">
        <is>
          <t>2026-02-09 00:00:00</t>
        </is>
      </c>
      <c r="D199" s="2" t="n">
        <v>0.0357142857142857</v>
      </c>
    </row>
    <row r="200">
      <c r="A200" t="inlineStr">
        <is>
          <t>GCIA DE TRANSFORMACION DE LITIGIOS</t>
        </is>
      </c>
      <c r="B200" t="inlineStr">
        <is>
          <t>09/02/2026</t>
        </is>
      </c>
      <c r="C200" t="inlineStr">
        <is>
          <t>2026-02-06 00:00:00</t>
        </is>
      </c>
      <c r="D200" s="2" t="n">
        <v>0.1071428571428571</v>
      </c>
    </row>
    <row r="201">
      <c r="A201" t="inlineStr">
        <is>
          <t>GCIA ESTADOS FINANCIEROS</t>
        </is>
      </c>
      <c r="B201" t="inlineStr">
        <is>
          <t>16/02/2026</t>
        </is>
      </c>
      <c r="C201" t="inlineStr">
        <is>
          <t>2026-02-13 00:00:00</t>
        </is>
      </c>
      <c r="D201" s="2" t="n">
        <v>0.1071428571428571</v>
      </c>
    </row>
    <row r="202">
      <c r="A202" t="inlineStr">
        <is>
          <t>GCIA GESTION INMOBILIARIA</t>
        </is>
      </c>
      <c r="B202" t="inlineStr">
        <is>
          <t>10/02/2026</t>
        </is>
      </c>
      <c r="C202" t="inlineStr">
        <is>
          <t>2026-02-06 00:00:00</t>
        </is>
      </c>
      <c r="D202" s="2" t="n">
        <v>0.1428571428571428</v>
      </c>
    </row>
    <row r="203">
      <c r="A203" t="inlineStr">
        <is>
          <t>GCIA JURIDICA SOCIETARIA FILIALES</t>
        </is>
      </c>
      <c r="B203" t="inlineStr">
        <is>
          <t>09/02/2026</t>
        </is>
      </c>
      <c r="C203" t="inlineStr">
        <is>
          <t>2026-02-06 00:00:00</t>
        </is>
      </c>
      <c r="D203" s="2" t="n">
        <v>0.1071428571428571</v>
      </c>
    </row>
    <row r="204">
      <c r="A204" t="inlineStr">
        <is>
          <t>GCIA LIMITES DESEMBOLSOS Y GARANTIAS</t>
        </is>
      </c>
      <c r="B204" t="inlineStr">
        <is>
          <t>05/02/2026</t>
        </is>
      </c>
      <c r="C204" t="inlineStr">
        <is>
          <t>2026-02-06 00:00:00</t>
        </is>
      </c>
      <c r="D204" s="2" t="n">
        <v>0</v>
      </c>
    </row>
    <row r="205">
      <c r="A205" t="inlineStr">
        <is>
          <t>GCIA MONITOREO CONTROL Y CUMP TRIBUTARIO</t>
        </is>
      </c>
      <c r="B205" t="inlineStr">
        <is>
          <t>17/02/2026</t>
        </is>
      </c>
      <c r="C205" t="inlineStr">
        <is>
          <t>2026-02-14 00:00:00</t>
        </is>
      </c>
      <c r="D205" s="2" t="n">
        <v>0.1071428571428571</v>
      </c>
    </row>
    <row r="206">
      <c r="A206" t="inlineStr">
        <is>
          <t>GCIA OP NEGOCIO INMOBILIARIO Y FACTORING</t>
        </is>
      </c>
      <c r="B206" t="inlineStr">
        <is>
          <t>09/02/2026</t>
        </is>
      </c>
      <c r="C206" t="inlineStr">
        <is>
          <t>2026-02-06 00:00:00</t>
        </is>
      </c>
      <c r="D206" s="2" t="n">
        <v>0.1071428571428571</v>
      </c>
    </row>
    <row r="207">
      <c r="A207" t="inlineStr">
        <is>
          <t>GCIA OPERACION DEPOSITOS PARA CLIENTES</t>
        </is>
      </c>
      <c r="B207" t="inlineStr">
        <is>
          <t>12/02/2026</t>
        </is>
      </c>
      <c r="C207" t="inlineStr">
        <is>
          <t>2026-02-06 00:00:00</t>
        </is>
      </c>
      <c r="D207" s="2" t="n">
        <v>0.2142857142857142</v>
      </c>
    </row>
    <row r="208">
      <c r="A208" t="inlineStr">
        <is>
          <t>GCIA OPERACION MEDIOS Y ACEPTACION PAGOS</t>
        </is>
      </c>
      <c r="B208" t="inlineStr">
        <is>
          <t>09/02/2026</t>
        </is>
      </c>
      <c r="C208" t="inlineStr">
        <is>
          <t>2026-02-06 00:00:00</t>
        </is>
      </c>
      <c r="D208" s="2" t="n">
        <v>0.1071428571428571</v>
      </c>
    </row>
    <row r="209">
      <c r="A209" t="inlineStr">
        <is>
          <t>GCIA OPERACIONES SEGUROS Y NUEVOS FLUJOS</t>
        </is>
      </c>
      <c r="B209" t="inlineStr">
        <is>
          <t>06/02/2026</t>
        </is>
      </c>
      <c r="C209" t="inlineStr">
        <is>
          <t>2026-02-06 00:00:00</t>
        </is>
      </c>
      <c r="D209" s="2" t="n">
        <v>0</v>
      </c>
    </row>
    <row r="210">
      <c r="A210" t="inlineStr">
        <is>
          <t>GCIA SEGURIDAD DE PERSONAS E INF FISICA</t>
        </is>
      </c>
      <c r="B210" t="inlineStr">
        <is>
          <t>03/02/2026</t>
        </is>
      </c>
      <c r="C210" t="inlineStr">
        <is>
          <t>2026-02-06 00:00:00</t>
        </is>
      </c>
      <c r="D210" s="2" t="n">
        <v>0</v>
      </c>
    </row>
    <row r="211">
      <c r="A211" t="inlineStr">
        <is>
          <t>GCIA SEGUROS CORPORATIVOS</t>
        </is>
      </c>
      <c r="B211" t="inlineStr">
        <is>
          <t>03/02/2026</t>
        </is>
      </c>
      <c r="C211" t="inlineStr">
        <is>
          <t>2026-02-06 00:00:00</t>
        </is>
      </c>
      <c r="D211" s="2" t="n">
        <v>0</v>
      </c>
    </row>
    <row r="212">
      <c r="A212" t="inlineStr">
        <is>
          <t>GCIA SERV FINANCIEROS MERCADO CAPITALES</t>
        </is>
      </c>
      <c r="B212" t="inlineStr">
        <is>
          <t>06/02/2026</t>
        </is>
      </c>
      <c r="C212" t="inlineStr">
        <is>
          <t>2026-02-07 00:00:00</t>
        </is>
      </c>
      <c r="D212" s="2" t="n">
        <v>0</v>
      </c>
    </row>
    <row r="213">
      <c r="A213" t="inlineStr">
        <is>
          <t>GCIA SERVICIOS CONTABLES ADMINISTRATIVOS</t>
        </is>
      </c>
      <c r="B213" t="inlineStr">
        <is>
          <t>09/02/2026</t>
        </is>
      </c>
      <c r="C213" t="inlineStr">
        <is>
          <t>2026-02-06 00:00:00</t>
        </is>
      </c>
      <c r="D213" s="2" t="n">
        <v>0.1071428571428571</v>
      </c>
    </row>
    <row r="214">
      <c r="A214" t="inlineStr">
        <is>
          <t>GCIA SERVICIOS CONTROL Y MONITOREO EEFF</t>
        </is>
      </c>
      <c r="B214" t="inlineStr">
        <is>
          <t>06/02/2026</t>
        </is>
      </c>
      <c r="C214" t="inlineStr">
        <is>
          <t>2026-02-06 00:00:00</t>
        </is>
      </c>
      <c r="D214" s="2" t="n">
        <v>0</v>
      </c>
    </row>
    <row r="215">
      <c r="A215" t="inlineStr">
        <is>
          <t>GCIA SERVICIOS DE NOMINA A EMPLEADOS</t>
        </is>
      </c>
      <c r="B215" t="inlineStr">
        <is>
          <t>10/02/2026</t>
        </is>
      </c>
      <c r="C215" t="inlineStr">
        <is>
          <t>2026-02-06 00:00:00</t>
        </is>
      </c>
      <c r="D215" s="2" t="n">
        <v>0.1428571428571428</v>
      </c>
    </row>
    <row r="216">
      <c r="A216" t="inlineStr">
        <is>
          <t>GCIA SERVICIOS FINANCIEROS CORPORATIVOS</t>
        </is>
      </c>
      <c r="B216" t="inlineStr">
        <is>
          <t>17/02/2026</t>
        </is>
      </c>
      <c r="C216" t="inlineStr">
        <is>
          <t>2026-02-16 00:00:00</t>
        </is>
      </c>
      <c r="D216" s="2" t="n">
        <v>0.0357142857142857</v>
      </c>
    </row>
    <row r="217">
      <c r="A217" t="inlineStr">
        <is>
          <t>GCIA SERVICIOS GESTION DEL FRAUDE</t>
        </is>
      </c>
      <c r="B217" t="inlineStr">
        <is>
          <t>05/02/2026</t>
        </is>
      </c>
      <c r="C217" t="inlineStr">
        <is>
          <t>2026-02-06 00:00:00</t>
        </is>
      </c>
      <c r="D217" s="2" t="n">
        <v>0</v>
      </c>
    </row>
    <row r="218">
      <c r="A218" t="inlineStr">
        <is>
          <t>GCIA SERVICIOS INVERSIONES Y TESORERIA</t>
        </is>
      </c>
      <c r="B218" t="inlineStr">
        <is>
          <t>05/02/2026</t>
        </is>
      </c>
      <c r="C218" t="inlineStr">
        <is>
          <t>2026-02-06 00:00:00</t>
        </is>
      </c>
      <c r="D218" s="2" t="n">
        <v>0</v>
      </c>
    </row>
    <row r="219">
      <c r="A219" t="inlineStr">
        <is>
          <t>GERENCIA DE SERVICIOS DE COBRANZA Y BRP</t>
        </is>
      </c>
      <c r="B219" t="inlineStr">
        <is>
          <t>06/02/2026</t>
        </is>
      </c>
      <c r="C219" t="inlineStr">
        <is>
          <t>2026-02-06 00:00:00</t>
        </is>
      </c>
      <c r="D219" s="2" t="n">
        <v>0</v>
      </c>
    </row>
    <row r="220">
      <c r="A220" t="inlineStr">
        <is>
          <t>GERENCIA OPERACION CASH MANAGEMENT</t>
        </is>
      </c>
      <c r="B220" t="inlineStr">
        <is>
          <t>17/02/2026</t>
        </is>
      </c>
      <c r="C220" t="inlineStr">
        <is>
          <t>2026-02-06 00:00:00</t>
        </is>
      </c>
      <c r="D220" s="2" t="n">
        <v>0.3928571428571428</v>
      </c>
    </row>
    <row r="221">
      <c r="A221" t="inlineStr">
        <is>
          <t>GERENCIA OPERACION DE FINANCIACION</t>
        </is>
      </c>
      <c r="B221" t="inlineStr">
        <is>
          <t>10/02/2026</t>
        </is>
      </c>
      <c r="C221" t="inlineStr">
        <is>
          <t>2026-02-06 00:00:00</t>
        </is>
      </c>
      <c r="D221" s="2" t="n">
        <v>0.1428571428571428</v>
      </c>
    </row>
    <row r="222">
      <c r="A222" t="inlineStr">
        <is>
          <t>GERENCIA OPERACIONES TALENTO Y CULTURA</t>
        </is>
      </c>
      <c r="B222" t="inlineStr">
        <is>
          <t>09/02/2026</t>
        </is>
      </c>
      <c r="C222" t="inlineStr">
        <is>
          <t>2026-02-06 00:00:00</t>
        </is>
      </c>
      <c r="D222" s="2" t="n">
        <v>0.1071428571428571</v>
      </c>
    </row>
    <row r="223">
      <c r="A223" t="inlineStr">
        <is>
          <t>GERENCIA SERVICIOS LOGISTICOS</t>
        </is>
      </c>
      <c r="B223" t="inlineStr">
        <is>
          <t>04/02/2026</t>
        </is>
      </c>
      <c r="C223" t="inlineStr">
        <is>
          <t>2026-02-06 00:00:00</t>
        </is>
      </c>
      <c r="D223" s="2" t="n">
        <v>0</v>
      </c>
    </row>
    <row r="224">
      <c r="A224" t="inlineStr">
        <is>
          <t>LDC FC SITIO DE CONTENIDOS</t>
        </is>
      </c>
      <c r="B224" t="inlineStr">
        <is>
          <t>03/02/2026</t>
        </is>
      </c>
      <c r="C224" t="inlineStr">
        <is>
          <t>2026-02-06 00:00:00</t>
        </is>
      </c>
      <c r="D224" s="2" t="n">
        <v>0</v>
      </c>
    </row>
    <row r="225">
      <c r="A225" t="inlineStr">
        <is>
          <t>LDC INCLUSION Y PROGRESO</t>
        </is>
      </c>
      <c r="B225" t="inlineStr">
        <is>
          <t>05/02/2026</t>
        </is>
      </c>
      <c r="C225" t="inlineStr">
        <is>
          <t>2026-02-06 00:00:00</t>
        </is>
      </c>
      <c r="D225" s="2" t="n">
        <v>0</v>
      </c>
    </row>
    <row r="226">
      <c r="A226" t="inlineStr">
        <is>
          <t>EVC SEGUROS</t>
        </is>
      </c>
      <c r="B226" t="inlineStr">
        <is>
          <t>09/02/2026</t>
        </is>
      </c>
      <c r="C226" t="inlineStr">
        <is>
          <t>2026-02-06 00:00:00</t>
        </is>
      </c>
      <c r="D226" s="2" t="n">
        <v>0.1071428571428571</v>
      </c>
    </row>
    <row r="227">
      <c r="A227" t="inlineStr">
        <is>
          <t>LDC PRODUCTO VIDA Y SALUD</t>
        </is>
      </c>
      <c r="B227" t="inlineStr">
        <is>
          <t>09/02/2026</t>
        </is>
      </c>
      <c r="C227" t="inlineStr">
        <is>
          <t>2026-02-06 00:00:00</t>
        </is>
      </c>
      <c r="D227" s="2" t="n">
        <v>0.1071428571428571</v>
      </c>
    </row>
    <row r="228">
      <c r="A228" t="inlineStr">
        <is>
          <t>OPERACION Y ANALITICA ECOSISTEMAS</t>
        </is>
      </c>
      <c r="B228" t="inlineStr">
        <is>
          <t>06/02/2026</t>
        </is>
      </c>
      <c r="C228" t="inlineStr">
        <is>
          <t>2026-02-06 00:00:00</t>
        </is>
      </c>
      <c r="D228" s="2" t="n">
        <v>0</v>
      </c>
    </row>
    <row r="229">
      <c r="A229" t="inlineStr">
        <is>
          <t>*El indicador mide el incumplimiento en función de los días calendario del mes. Cada día de atraso tiene el mismo peso, independientemente de la fecha objetivo.</t>
        </is>
      </c>
    </row>
    <row r="230">
      <c r="C230" t="inlineStr">
        <is>
          <t>Promedio INDICADOR</t>
        </is>
      </c>
      <c r="D230" s="2">
        <f>AVERAGE(D181:D229)</f>
        <v/>
      </c>
    </row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2026-03-10T16:13:08Z</dcterms:created>
  <dcterms:modified xsi:type="dcterms:W3CDTF">2026-03-19T17:17:26Z</dcterms:modified>
</cp:coreProperties>
</file>